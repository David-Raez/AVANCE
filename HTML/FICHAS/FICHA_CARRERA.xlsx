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TPRO\Desktop\"/>
    </mc:Choice>
  </mc:AlternateContent>
  <xr:revisionPtr revIDLastSave="0" documentId="8_{D3F2DBD4-81DF-4EA9-95DD-C29E86935722}" xr6:coauthVersionLast="47" xr6:coauthVersionMax="47" xr10:uidLastSave="{00000000-0000-0000-0000-000000000000}"/>
  <bookViews>
    <workbookView xWindow="-120" yWindow="-120" windowWidth="24240" windowHeight="13140" xr2:uid="{20819270-5586-4771-B968-B2DDA40F30FA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" l="1"/>
  <c r="K23" i="1"/>
  <c r="C23" i="1"/>
  <c r="I23" i="1" s="1"/>
  <c r="K22" i="1"/>
  <c r="I22" i="1"/>
  <c r="C22" i="1"/>
  <c r="M22" i="1" s="1"/>
  <c r="I21" i="1"/>
  <c r="C21" i="1"/>
  <c r="M21" i="1" s="1"/>
  <c r="M20" i="1"/>
  <c r="K20" i="1"/>
  <c r="C20" i="1"/>
  <c r="I20" i="1" s="1"/>
  <c r="K19" i="1"/>
  <c r="I19" i="1"/>
  <c r="C19" i="1"/>
  <c r="M19" i="1" s="1"/>
  <c r="I18" i="1"/>
  <c r="C18" i="1"/>
  <c r="M18" i="1" s="1"/>
  <c r="M17" i="1"/>
  <c r="K17" i="1"/>
  <c r="C17" i="1"/>
  <c r="I17" i="1" s="1"/>
  <c r="K16" i="1"/>
  <c r="I16" i="1"/>
  <c r="C16" i="1"/>
  <c r="M16" i="1" s="1"/>
  <c r="I15" i="1"/>
  <c r="M15" i="1"/>
  <c r="L9" i="1"/>
  <c r="K15" i="1" l="1"/>
  <c r="K18" i="1"/>
  <c r="K21" i="1"/>
</calcChain>
</file>

<file path=xl/sharedStrings.xml><?xml version="1.0" encoding="utf-8"?>
<sst xmlns="http://schemas.openxmlformats.org/spreadsheetml/2006/main" count="37" uniqueCount="34">
  <si>
    <t>FICHA DE REGISTRO DE MATRICULA</t>
  </si>
  <si>
    <t>AÑO 2025</t>
  </si>
  <si>
    <t>NOMBRE DEL CETPRO</t>
  </si>
  <si>
    <t>LA CASA DEL NIÑO TRABAJADOR SAN MARTIN DE PORRES</t>
  </si>
  <si>
    <t>DRE</t>
  </si>
  <si>
    <t>Lima Metropolitana</t>
  </si>
  <si>
    <t>CODIGO MODULAR</t>
  </si>
  <si>
    <t>TIPO DE GESTION</t>
  </si>
  <si>
    <t>Pública</t>
  </si>
  <si>
    <t>DEPARTAMENTO</t>
  </si>
  <si>
    <t>LIMA</t>
  </si>
  <si>
    <t>PROVINCIA</t>
  </si>
  <si>
    <t>Lima</t>
  </si>
  <si>
    <t>DISTRITO</t>
  </si>
  <si>
    <t>PROGRAMA DE ESTUDIOS</t>
  </si>
  <si>
    <t>PERIODO LECTIVO</t>
  </si>
  <si>
    <t>MODULO</t>
  </si>
  <si>
    <t>PERIODO DE CLASES</t>
  </si>
  <si>
    <t>NIVEL FORMATIVO</t>
  </si>
  <si>
    <t>AUXILIAR TECNICO</t>
  </si>
  <si>
    <t>PERIODO ACADEMICO</t>
  </si>
  <si>
    <t>TIPO DE PLAN DE ESTUDIOS</t>
  </si>
  <si>
    <t>PRESENCIAL</t>
  </si>
  <si>
    <t>NUMERO DE DOCUMENTO</t>
  </si>
  <si>
    <t>APELLIDOS Y NOMBRES</t>
  </si>
  <si>
    <t>UNIDADES DIDACTICAS</t>
  </si>
  <si>
    <t>N°</t>
  </si>
  <si>
    <t>UNIDAD DIDACTICA</t>
  </si>
  <si>
    <t>CRÉDITOS</t>
  </si>
  <si>
    <t>HORAS</t>
  </si>
  <si>
    <t>CONDICION</t>
  </si>
  <si>
    <t>UNIDEDES DIDÁCTICAS DE SUBSANACIÓN</t>
  </si>
  <si>
    <t>FIRMA DEL ESTUDIANTE Y/O APODERADO</t>
  </si>
  <si>
    <t>FIRMA DEL ADMINISTRATIVO REPONSABLE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</si>
</sst>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6"/>
      <color theme="1"/>
      <name val="Verdana"/>
      <family val="2"/>
    </font>
    <font>
      <b/>
      <sz val="14"/>
      <color theme="1"/>
      <name val="Verdana"/>
      <family val="2"/>
    </font>
    <font>
      <sz val="11"/>
      <color theme="1"/>
      <name val="Verdana"/>
      <family val="2"/>
    </font>
    <font>
      <sz val="8"/>
      <color theme="1"/>
      <name val="Verdana"/>
      <family val="2"/>
    </font>
    <font>
      <sz val="14"/>
      <color theme="1"/>
      <name val="Verdana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1" fillId="2" borderId="2" xfId="0" applyFont="1" applyFill="1" applyBorder="1"/>
    <xf numFmtId="0" fontId="1" fillId="0" borderId="3" xfId="0" applyFont="1" applyBorder="1"/>
    <xf numFmtId="0" fontId="2" fillId="0" borderId="4" xfId="0" applyFont="1" applyBorder="1"/>
    <xf numFmtId="0" fontId="0" fillId="0" borderId="0" xfId="0"/>
    <xf numFmtId="0" fontId="3" fillId="2" borderId="0" xfId="0" applyFont="1" applyFill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4" fillId="2" borderId="7" xfId="0" applyFont="1" applyFill="1" applyBorder="1" applyAlignment="1">
      <alignment horizontal="center"/>
    </xf>
    <xf numFmtId="0" fontId="2" fillId="0" borderId="8" xfId="0" applyFont="1" applyBorder="1"/>
    <xf numFmtId="0" fontId="5" fillId="3" borderId="9" xfId="0" applyFont="1" applyFill="1" applyBorder="1"/>
    <xf numFmtId="0" fontId="2" fillId="0" borderId="10" xfId="0" applyFont="1" applyBorder="1"/>
    <xf numFmtId="0" fontId="2" fillId="0" borderId="11" xfId="0" applyFont="1" applyBorder="1"/>
    <xf numFmtId="0" fontId="5" fillId="2" borderId="10" xfId="0" applyFont="1" applyFill="1" applyBorder="1"/>
    <xf numFmtId="0" fontId="5" fillId="3" borderId="10" xfId="0" applyFont="1" applyFill="1" applyBorder="1"/>
    <xf numFmtId="0" fontId="5" fillId="2" borderId="10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left"/>
    </xf>
    <xf numFmtId="0" fontId="5" fillId="3" borderId="12" xfId="0" applyFont="1" applyFill="1" applyBorder="1"/>
    <xf numFmtId="0" fontId="1" fillId="3" borderId="8" xfId="0" applyFont="1" applyFill="1" applyBorder="1"/>
    <xf numFmtId="0" fontId="7" fillId="3" borderId="9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1" fillId="2" borderId="10" xfId="0" applyFont="1" applyFill="1" applyBorder="1"/>
    <xf numFmtId="0" fontId="5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2" fillId="0" borderId="3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0" xfId="0" applyFont="1"/>
    <xf numFmtId="0" fontId="1" fillId="0" borderId="7" xfId="0" applyFont="1" applyBorder="1"/>
    <xf numFmtId="0" fontId="8" fillId="0" borderId="0" xfId="0" applyFon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2038350" cy="447675"/>
    <xdr:pic>
      <xdr:nvPicPr>
        <xdr:cNvPr id="2" name="image5.png" title="Imagen">
          <a:extLst>
            <a:ext uri="{FF2B5EF4-FFF2-40B4-BE49-F238E27FC236}">
              <a16:creationId xmlns:a16="http://schemas.microsoft.com/office/drawing/2014/main" id="{1EF5B6D6-CA30-45DA-BF7E-D86CDABBCB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8675" y="152400"/>
          <a:ext cx="2038350" cy="4476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476250</xdr:colOff>
      <xdr:row>24</xdr:row>
      <xdr:rowOff>95250</xdr:rowOff>
    </xdr:from>
    <xdr:ext cx="1800225" cy="1800225"/>
    <xdr:pic>
      <xdr:nvPicPr>
        <xdr:cNvPr id="3" name="image4.png" title="Imagen">
          <a:extLst>
            <a:ext uri="{FF2B5EF4-FFF2-40B4-BE49-F238E27FC236}">
              <a16:creationId xmlns:a16="http://schemas.microsoft.com/office/drawing/2014/main" id="{73CDB73C-B09F-4282-9C25-FA607E7FAB3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00900" y="4895850"/>
          <a:ext cx="1800225" cy="18002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ETPRO\Downloads\FORMULARIOS%202025%20(Respuestas).xlsx" TargetMode="External"/><Relationship Id="rId1" Type="http://schemas.openxmlformats.org/officeDocument/2006/relationships/externalLinkPath" Target="/Users/CETPRO/Downloads/FORMULARIOS%202025%20(Respuesta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_PAGOS"/>
      <sheetName val="FORM_ALUMNOS"/>
      <sheetName val="FICHA_MODULOS"/>
      <sheetName val="FORM_MATRICULA"/>
      <sheetName val="FICHA_CARRERA"/>
      <sheetName val="LISTADO_ALUMNOS"/>
      <sheetName val="FORMATO PARA TRIMESTRES"/>
      <sheetName val="TABLA_CURSOS"/>
      <sheetName val="FORMULARIO_ALUMNOS"/>
      <sheetName val="FORMULARIO_MATRICULA"/>
      <sheetName val="FORMULARIO_PAGOS"/>
      <sheetName val="TABLA_PAGOS"/>
      <sheetName val="UD"/>
      <sheetName val="Hoja 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MODULO</v>
          </cell>
          <cell r="B1" t="str">
            <v>UNIDAD DIDACTICA</v>
          </cell>
          <cell r="C1" t="str">
            <v>CLAS.</v>
          </cell>
          <cell r="D1" t="str">
            <v>CREDIT.</v>
          </cell>
          <cell r="E1" t="str">
            <v>HRS</v>
          </cell>
          <cell r="F1" t="str">
            <v>FRECUENCIA</v>
          </cell>
          <cell r="G1" t="str">
            <v>INICIO</v>
          </cell>
        </row>
        <row r="2">
          <cell r="A2" t="str">
            <v>ACONDICIONAMIENTO Y ELABORACIÓN DE PRODUCTOS DE PANADERÍA Y PASTELERÍA</v>
          </cell>
          <cell r="B2" t="str">
            <v>ORGANIZACIÓN DEL ÁREA, EQUIPOS Y UTENSILIOS</v>
          </cell>
          <cell r="C2">
            <v>8</v>
          </cell>
          <cell r="D2">
            <v>2</v>
          </cell>
          <cell r="E2">
            <v>48</v>
          </cell>
          <cell r="F2" t="str">
            <v>LUNES A JUEVES</v>
          </cell>
          <cell r="G2">
            <v>45733</v>
          </cell>
        </row>
        <row r="3">
          <cell r="B3" t="str">
            <v>ORGANIZACIÓN Y SELECCIÓN DE MATERIA E INSUMOS</v>
          </cell>
          <cell r="C3">
            <v>8</v>
          </cell>
          <cell r="D3">
            <v>2</v>
          </cell>
          <cell r="E3">
            <v>48</v>
          </cell>
          <cell r="F3" t="str">
            <v>LUNES A JUEVES</v>
          </cell>
          <cell r="G3">
            <v>45743</v>
          </cell>
        </row>
        <row r="4">
          <cell r="B4" t="str">
            <v>ACONDICIONA Y REUTILIZA INSUMOS Y MERMAS</v>
          </cell>
          <cell r="C4">
            <v>8</v>
          </cell>
          <cell r="D4">
            <v>2</v>
          </cell>
          <cell r="E4">
            <v>48</v>
          </cell>
          <cell r="F4" t="str">
            <v>LUNES A JUEVES</v>
          </cell>
          <cell r="G4">
            <v>45757</v>
          </cell>
        </row>
        <row r="5">
          <cell r="B5" t="str">
            <v>FORMULACIÓN Y ELABORACIÓN DE MASAS DE PASTELERÍA</v>
          </cell>
          <cell r="C5">
            <v>8</v>
          </cell>
          <cell r="D5">
            <v>2</v>
          </cell>
          <cell r="E5">
            <v>48</v>
          </cell>
          <cell r="F5" t="str">
            <v>LUNES A JUEVES</v>
          </cell>
          <cell r="G5">
            <v>45771</v>
          </cell>
        </row>
        <row r="6">
          <cell r="B6" t="str">
            <v>FORMULACIÓN Y ELABORACIÓN DE MASAS CON TRATAMIENTO TÉRMICO DE PANADERÍA</v>
          </cell>
          <cell r="C6">
            <v>8</v>
          </cell>
          <cell r="D6">
            <v>2</v>
          </cell>
          <cell r="E6">
            <v>48</v>
          </cell>
          <cell r="F6" t="str">
            <v>LUNES A JUEVES</v>
          </cell>
          <cell r="G6">
            <v>45789</v>
          </cell>
        </row>
        <row r="7">
          <cell r="B7" t="str">
            <v>EXPERIENCIAS FORMATIVAS EN SITUACIONES REALES DE TRABAJO</v>
          </cell>
          <cell r="C7">
            <v>32</v>
          </cell>
          <cell r="D7">
            <v>6</v>
          </cell>
          <cell r="E7">
            <v>192</v>
          </cell>
          <cell r="F7" t="str">
            <v>LUNES A JUEVES</v>
          </cell>
          <cell r="G7">
            <v>45803</v>
          </cell>
        </row>
        <row r="8">
          <cell r="B8" t="str">
            <v>COMUNICACIÓN PARA EL DESARROLLO PERSONAL Y PROFESIONAL</v>
          </cell>
          <cell r="C8">
            <v>8</v>
          </cell>
          <cell r="D8">
            <v>2</v>
          </cell>
          <cell r="E8">
            <v>48</v>
          </cell>
          <cell r="F8" t="str">
            <v>VIERNES</v>
          </cell>
          <cell r="G8">
            <v>45730</v>
          </cell>
        </row>
        <row r="9">
          <cell r="B9" t="str">
            <v>HERRAMIENTAS INFORMÁTICAS</v>
          </cell>
          <cell r="C9">
            <v>8</v>
          </cell>
          <cell r="D9">
            <v>2</v>
          </cell>
          <cell r="E9">
            <v>48</v>
          </cell>
          <cell r="F9" t="str">
            <v>VIERNES</v>
          </cell>
          <cell r="G9">
            <v>45793</v>
          </cell>
        </row>
        <row r="10">
          <cell r="A10" t="str">
            <v>DECORACIÓN Y PRESENTACIÓN DE PRODUCTOS DE PANADERÍA Y PASTELERÍA</v>
          </cell>
          <cell r="B10" t="str">
            <v>BIOTECNOLOGÍA DE LOS ALIMENTOS Y EQUIPOS</v>
          </cell>
          <cell r="C10">
            <v>8</v>
          </cell>
          <cell r="D10">
            <v>2</v>
          </cell>
          <cell r="E10">
            <v>48</v>
          </cell>
          <cell r="F10" t="str">
            <v>LUNES A JUEVES</v>
          </cell>
          <cell r="G10">
            <v>45880</v>
          </cell>
        </row>
        <row r="11">
          <cell r="B11" t="str">
            <v>PROCESOS DE BIOTECNOLOGÍA</v>
          </cell>
          <cell r="C11">
            <v>8</v>
          </cell>
          <cell r="D11">
            <v>2</v>
          </cell>
          <cell r="E11">
            <v>48</v>
          </cell>
          <cell r="F11" t="str">
            <v>LUNES A JUEVES</v>
          </cell>
          <cell r="G11">
            <v>45894</v>
          </cell>
        </row>
        <row r="12">
          <cell r="B12" t="str">
            <v>TÉCNICAS DE FORMADO DEL PRODUCTO</v>
          </cell>
          <cell r="C12">
            <v>8</v>
          </cell>
          <cell r="D12">
            <v>2</v>
          </cell>
          <cell r="E12">
            <v>48</v>
          </cell>
          <cell r="F12" t="str">
            <v>LUNES A JUEVES</v>
          </cell>
          <cell r="G12">
            <v>45908</v>
          </cell>
        </row>
        <row r="13">
          <cell r="B13" t="str">
            <v>EQUIPAMIENTO Y FORMADO DE MASAS</v>
          </cell>
          <cell r="C13">
            <v>8</v>
          </cell>
          <cell r="D13">
            <v>2</v>
          </cell>
          <cell r="E13">
            <v>48</v>
          </cell>
          <cell r="F13" t="str">
            <v>LUNES A JUEVES</v>
          </cell>
          <cell r="G13">
            <v>45922</v>
          </cell>
        </row>
        <row r="14">
          <cell r="B14" t="str">
            <v>EQUIPAMIENTO, DISEÑO Y ACABADO DE PRESENTACIÓN</v>
          </cell>
          <cell r="C14">
            <v>8</v>
          </cell>
          <cell r="D14">
            <v>2</v>
          </cell>
          <cell r="E14">
            <v>48</v>
          </cell>
          <cell r="F14" t="str">
            <v>LUNES A JUEVES</v>
          </cell>
          <cell r="G14">
            <v>45936</v>
          </cell>
        </row>
        <row r="15">
          <cell r="B15" t="str">
            <v>EXPERIENCIAS FORMATIVAS EN SITUACIONES REALES DE TRABAJO</v>
          </cell>
          <cell r="C15">
            <v>32</v>
          </cell>
          <cell r="D15">
            <v>6</v>
          </cell>
          <cell r="E15">
            <v>192</v>
          </cell>
          <cell r="F15" t="str">
            <v>LUNES A JUEVES</v>
          </cell>
          <cell r="G15">
            <v>45950</v>
          </cell>
        </row>
        <row r="16">
          <cell r="B16" t="str">
            <v>EMPRENDIMIENTO</v>
          </cell>
          <cell r="C16">
            <v>8</v>
          </cell>
          <cell r="D16">
            <v>2</v>
          </cell>
          <cell r="E16">
            <v>48</v>
          </cell>
          <cell r="F16" t="str">
            <v>VIERNES</v>
          </cell>
          <cell r="G16">
            <v>45884</v>
          </cell>
        </row>
        <row r="17">
          <cell r="B17" t="str">
            <v>COMPORTAMIENTO ÉTICO</v>
          </cell>
          <cell r="C17">
            <v>8</v>
          </cell>
          <cell r="D17">
            <v>2</v>
          </cell>
          <cell r="E17">
            <v>48</v>
          </cell>
          <cell r="F17" t="str">
            <v>VIERNES</v>
          </cell>
          <cell r="G17">
            <v>45947</v>
          </cell>
        </row>
        <row r="18">
          <cell r="A18" t="str">
            <v>DISEÑO Y MODELAJE DE ARTÍCULOS EN CUERO Y MARROQUINERÍA</v>
          </cell>
          <cell r="B18" t="str">
            <v>DISEÑO Y MODELAJE DE ARTÍCULOS DE CUERO Y MARROQUINERÍA</v>
          </cell>
          <cell r="C18">
            <v>11</v>
          </cell>
          <cell r="D18">
            <v>3</v>
          </cell>
          <cell r="E18">
            <v>64</v>
          </cell>
          <cell r="F18" t="str">
            <v>LUNES</v>
          </cell>
          <cell r="G18">
            <v>45733</v>
          </cell>
        </row>
        <row r="19">
          <cell r="B19" t="str">
            <v>TÉCNICAS DE CORTE Y HABILITADO</v>
          </cell>
          <cell r="C19">
            <v>8</v>
          </cell>
          <cell r="D19">
            <v>2</v>
          </cell>
          <cell r="E19">
            <v>48</v>
          </cell>
          <cell r="F19" t="str">
            <v>MARTES</v>
          </cell>
          <cell r="G19">
            <v>45734</v>
          </cell>
        </row>
        <row r="20">
          <cell r="B20" t="str">
            <v>ACONDICIONAMIENTO DE MAQUINAS, EQUIPOS Y HERRAMIENTAS</v>
          </cell>
          <cell r="C20">
            <v>8</v>
          </cell>
          <cell r="D20">
            <v>2</v>
          </cell>
          <cell r="E20">
            <v>48</v>
          </cell>
          <cell r="F20" t="str">
            <v>MIÉRC Y JUE</v>
          </cell>
          <cell r="G20">
            <v>45735</v>
          </cell>
        </row>
        <row r="21">
          <cell r="B21" t="str">
            <v>CONFECCIÓN Y ARMADO</v>
          </cell>
          <cell r="C21">
            <v>13</v>
          </cell>
          <cell r="D21">
            <v>3</v>
          </cell>
          <cell r="E21">
            <v>80</v>
          </cell>
          <cell r="F21" t="str">
            <v>MIÉRC Y JUE</v>
          </cell>
          <cell r="G21">
            <v>45763</v>
          </cell>
        </row>
        <row r="22">
          <cell r="B22" t="str">
            <v>COMUNICACIÓN PARA EL DESARROLLO PERSONAL Y PROFESIONAL</v>
          </cell>
          <cell r="C22">
            <v>8</v>
          </cell>
          <cell r="D22">
            <v>2</v>
          </cell>
          <cell r="E22">
            <v>48</v>
          </cell>
          <cell r="F22" t="str">
            <v>VIERNES</v>
          </cell>
          <cell r="G22">
            <v>45730</v>
          </cell>
        </row>
        <row r="23">
          <cell r="B23" t="str">
            <v>EMPRENDIMIENTO</v>
          </cell>
          <cell r="C23">
            <v>8</v>
          </cell>
          <cell r="D23">
            <v>2</v>
          </cell>
          <cell r="E23">
            <v>48</v>
          </cell>
          <cell r="F23" t="str">
            <v>VIERNES</v>
          </cell>
          <cell r="G23">
            <v>45786</v>
          </cell>
        </row>
        <row r="24">
          <cell r="B24" t="str">
            <v>EXPERIENCIA FORMATIVAS EN SITUACIONES REALES DE TRABAJO</v>
          </cell>
          <cell r="C24">
            <v>32</v>
          </cell>
          <cell r="D24">
            <v>6</v>
          </cell>
          <cell r="E24">
            <v>192</v>
          </cell>
          <cell r="F24" t="str">
            <v>LUNES A VIERNES</v>
          </cell>
          <cell r="G24">
            <v>45804</v>
          </cell>
        </row>
        <row r="25">
          <cell r="B25" t="str">
            <v>REPUJADO EN CUERO BASICO I</v>
          </cell>
          <cell r="C25">
            <v>48</v>
          </cell>
          <cell r="D25">
            <v>2</v>
          </cell>
          <cell r="E25">
            <v>48</v>
          </cell>
          <cell r="F25" t="str">
            <v>SABADOS</v>
          </cell>
          <cell r="G25">
            <v>45829</v>
          </cell>
        </row>
        <row r="26">
          <cell r="A26" t="str">
            <v>ACABADO DE ARTÍCULOS DE CUERO Y MARROQUINERÍA</v>
          </cell>
          <cell r="B26" t="str">
            <v>CONTROL DE CALIDAD</v>
          </cell>
          <cell r="C26">
            <v>13</v>
          </cell>
          <cell r="D26">
            <v>3</v>
          </cell>
          <cell r="E26">
            <v>80</v>
          </cell>
          <cell r="F26" t="str">
            <v>LUNES Y MARTES</v>
          </cell>
          <cell r="G26">
            <v>45880</v>
          </cell>
        </row>
        <row r="27">
          <cell r="B27" t="str">
            <v>ACCESORIOS Y AVÍOS</v>
          </cell>
          <cell r="C27">
            <v>8</v>
          </cell>
          <cell r="D27">
            <v>2</v>
          </cell>
          <cell r="E27">
            <v>48</v>
          </cell>
          <cell r="F27" t="str">
            <v>MIÉRC Y JUE</v>
          </cell>
          <cell r="G27">
            <v>45882</v>
          </cell>
        </row>
        <row r="28">
          <cell r="B28" t="str">
            <v>VALOR AGREGADO</v>
          </cell>
          <cell r="C28">
            <v>11</v>
          </cell>
          <cell r="D28">
            <v>3</v>
          </cell>
          <cell r="E28">
            <v>64</v>
          </cell>
          <cell r="F28" t="str">
            <v>MIÉRC Y JUE</v>
          </cell>
          <cell r="G28">
            <v>45910</v>
          </cell>
        </row>
        <row r="29">
          <cell r="B29" t="str">
            <v>DISEÑO Y ELABORACIÓN DE EMPAQUE</v>
          </cell>
          <cell r="C29">
            <v>8</v>
          </cell>
          <cell r="D29">
            <v>2</v>
          </cell>
          <cell r="E29">
            <v>48</v>
          </cell>
          <cell r="F29" t="str">
            <v>LUNES Y MARTES</v>
          </cell>
          <cell r="G29">
            <v>45923</v>
          </cell>
        </row>
        <row r="30">
          <cell r="B30" t="str">
            <v>EXPERIENCIAS FORMATIVAS EN SITUANES REALES DE TRABAJO</v>
          </cell>
          <cell r="C30">
            <v>32</v>
          </cell>
          <cell r="D30">
            <v>6</v>
          </cell>
          <cell r="E30">
            <v>192</v>
          </cell>
          <cell r="F30" t="str">
            <v>LUNES A VIERNES</v>
          </cell>
          <cell r="G30">
            <v>45951</v>
          </cell>
        </row>
        <row r="31">
          <cell r="B31" t="str">
            <v>ÉTICA</v>
          </cell>
          <cell r="C31">
            <v>8</v>
          </cell>
          <cell r="D31">
            <v>2</v>
          </cell>
          <cell r="E31">
            <v>48</v>
          </cell>
          <cell r="F31" t="str">
            <v>VIERNES</v>
          </cell>
          <cell r="G31">
            <v>45884</v>
          </cell>
        </row>
        <row r="32">
          <cell r="B32" t="str">
            <v>TECNOLOGÍA DE LA INFORMACIÓN DIGITAL</v>
          </cell>
          <cell r="C32">
            <v>8</v>
          </cell>
          <cell r="D32">
            <v>2</v>
          </cell>
          <cell r="E32">
            <v>48</v>
          </cell>
          <cell r="F32" t="str">
            <v>VIERNES</v>
          </cell>
          <cell r="G32">
            <v>45947</v>
          </cell>
        </row>
        <row r="33">
          <cell r="A33" t="str">
            <v>TÉCNICAS DE DIBUJO</v>
          </cell>
          <cell r="B33" t="str">
            <v>TECNOLGÍA DE LOS MATERIALES Y TÉCNICAS EN LA CERÁMICA</v>
          </cell>
          <cell r="C33">
            <v>3</v>
          </cell>
          <cell r="D33">
            <v>1</v>
          </cell>
          <cell r="E33">
            <v>16</v>
          </cell>
          <cell r="F33" t="str">
            <v>MART. Y JUEV.</v>
          </cell>
          <cell r="G33">
            <v>45734</v>
          </cell>
        </row>
        <row r="34">
          <cell r="B34" t="str">
            <v>DIBUJO ARTÍSTICO</v>
          </cell>
          <cell r="C34">
            <v>8</v>
          </cell>
          <cell r="D34">
            <v>2</v>
          </cell>
          <cell r="E34">
            <v>48</v>
          </cell>
          <cell r="F34" t="str">
            <v>MART. Y JUEV.</v>
          </cell>
          <cell r="G34">
            <v>45743</v>
          </cell>
        </row>
        <row r="35">
          <cell r="B35" t="str">
            <v>TEORÍA DEL COLOR</v>
          </cell>
          <cell r="C35">
            <v>5</v>
          </cell>
          <cell r="D35">
            <v>2</v>
          </cell>
          <cell r="E35">
            <v>32</v>
          </cell>
          <cell r="F35" t="str">
            <v>MART. Y JUEV.</v>
          </cell>
          <cell r="G35">
            <v>45776</v>
          </cell>
        </row>
        <row r="36">
          <cell r="B36" t="str">
            <v>VECTORIZACIÓN DIGITAL EN COREL DRAW</v>
          </cell>
          <cell r="C36">
            <v>24</v>
          </cell>
          <cell r="D36">
            <v>5</v>
          </cell>
          <cell r="E36">
            <v>144</v>
          </cell>
          <cell r="F36" t="str">
            <v>LUNES Y MIÉRC.</v>
          </cell>
          <cell r="G36">
            <v>45733</v>
          </cell>
        </row>
        <row r="37">
          <cell r="B37" t="str">
            <v>EXPERIENCIAS FORMATIVAS EN SITUANES REALES DE TRABAJO</v>
          </cell>
          <cell r="C37">
            <v>32</v>
          </cell>
          <cell r="D37">
            <v>6</v>
          </cell>
          <cell r="E37">
            <v>192</v>
          </cell>
          <cell r="F37" t="str">
            <v>LUENES A JUEVES</v>
          </cell>
          <cell r="G37">
            <v>45797</v>
          </cell>
        </row>
        <row r="38">
          <cell r="B38" t="str">
            <v>COMUNICACIÓN PARA EL DESARROLLO PERSONAL Y PROFESIONAL</v>
          </cell>
          <cell r="C38">
            <v>8</v>
          </cell>
          <cell r="D38">
            <v>2</v>
          </cell>
          <cell r="E38">
            <v>48</v>
          </cell>
          <cell r="F38" t="str">
            <v>VIERNES</v>
          </cell>
          <cell r="G38">
            <v>45730</v>
          </cell>
        </row>
        <row r="39">
          <cell r="B39" t="str">
            <v>TECNOLOGÍA DE LA INFORMACIÓN</v>
          </cell>
          <cell r="C39">
            <v>8</v>
          </cell>
          <cell r="D39">
            <v>2</v>
          </cell>
          <cell r="E39">
            <v>48</v>
          </cell>
          <cell r="F39" t="str">
            <v>VIERNES</v>
          </cell>
          <cell r="G39">
            <v>45786</v>
          </cell>
        </row>
        <row r="40">
          <cell r="A40" t="str">
            <v>DISEÑO GRAFICO APLICADO A LA CERAMICA</v>
          </cell>
          <cell r="B40" t="str">
            <v>MARKETING APLICADO A LA CERÁMICA</v>
          </cell>
          <cell r="C40">
            <v>5</v>
          </cell>
          <cell r="D40">
            <v>2</v>
          </cell>
          <cell r="E40">
            <v>32</v>
          </cell>
          <cell r="F40" t="str">
            <v>MART. Y JUEV.</v>
          </cell>
          <cell r="G40">
            <v>45881</v>
          </cell>
        </row>
        <row r="41">
          <cell r="B41" t="str">
            <v>ILUSTRACIÓN DIGITAL EN ILUSTRATOR</v>
          </cell>
          <cell r="C41">
            <v>13</v>
          </cell>
          <cell r="D41">
            <v>3</v>
          </cell>
          <cell r="E41">
            <v>80</v>
          </cell>
          <cell r="F41" t="str">
            <v>MART. Y JUEV.</v>
          </cell>
          <cell r="G41">
            <v>45897</v>
          </cell>
        </row>
        <row r="42">
          <cell r="B42" t="str">
            <v>EDITOR DE IMAGEN PHOTOSHOP</v>
          </cell>
          <cell r="C42">
            <v>13</v>
          </cell>
          <cell r="D42">
            <v>3</v>
          </cell>
          <cell r="E42">
            <v>80</v>
          </cell>
          <cell r="F42" t="str">
            <v>LUNES Y MIÉRC.</v>
          </cell>
          <cell r="G42">
            <v>45880</v>
          </cell>
        </row>
        <row r="43">
          <cell r="B43" t="str">
            <v>ESTRUCTURA DE IMÁGENES EN 3D</v>
          </cell>
          <cell r="C43">
            <v>8</v>
          </cell>
          <cell r="D43">
            <v>2</v>
          </cell>
          <cell r="E43">
            <v>48</v>
          </cell>
          <cell r="F43" t="str">
            <v>LUNES Y MIÉRC.</v>
          </cell>
          <cell r="G43">
            <v>45924</v>
          </cell>
        </row>
        <row r="44">
          <cell r="B44" t="str">
            <v>EXPERIENCIAS FORMATIVAS EN SITUACIONES REALES DE TRABAJO</v>
          </cell>
          <cell r="C44">
            <v>32</v>
          </cell>
          <cell r="D44">
            <v>6</v>
          </cell>
          <cell r="E44">
            <v>192</v>
          </cell>
          <cell r="F44" t="str">
            <v>LUNES A JUEVES</v>
          </cell>
          <cell r="G44">
            <v>45944</v>
          </cell>
        </row>
        <row r="45">
          <cell r="B45" t="str">
            <v>EMPRENDIMIENTO</v>
          </cell>
          <cell r="C45">
            <v>8</v>
          </cell>
          <cell r="D45">
            <v>2</v>
          </cell>
          <cell r="E45">
            <v>48</v>
          </cell>
          <cell r="F45" t="str">
            <v>VIERNES</v>
          </cell>
          <cell r="G45">
            <v>45884</v>
          </cell>
        </row>
        <row r="46">
          <cell r="B46" t="str">
            <v>ÉTICA</v>
          </cell>
          <cell r="C46">
            <v>8</v>
          </cell>
          <cell r="D46">
            <v>2</v>
          </cell>
          <cell r="E46">
            <v>48</v>
          </cell>
          <cell r="F46" t="str">
            <v>VIERNES</v>
          </cell>
          <cell r="G46">
            <v>45947</v>
          </cell>
        </row>
        <row r="47">
          <cell r="A47" t="str">
            <v>ATENCIÓN DE INCIDENTES Y PROBLEMAS DE OPERATIVIDAD EN EL CENTRO DE CÓMPUTO</v>
          </cell>
          <cell r="B47" t="str">
            <v>ORGANIZACIÓN DEL ÁREA DE TRABAJO Y ARQUITECTURA DE HARDWARE</v>
          </cell>
          <cell r="C47">
            <v>13</v>
          </cell>
          <cell r="D47">
            <v>3</v>
          </cell>
          <cell r="E47">
            <v>80</v>
          </cell>
          <cell r="F47" t="str">
            <v>lunes, miercoles</v>
          </cell>
          <cell r="G47">
            <v>45733</v>
          </cell>
        </row>
        <row r="48">
          <cell r="B48" t="str">
            <v>ATENCIÓN DEL INCIDENTE INFORMÁTICO DEL CENTRO DE CÓMPUTO</v>
          </cell>
          <cell r="C48">
            <v>8</v>
          </cell>
          <cell r="D48">
            <v>2</v>
          </cell>
          <cell r="E48">
            <v>48</v>
          </cell>
          <cell r="F48" t="str">
            <v>martes, jueves</v>
          </cell>
          <cell r="G48">
            <v>45734</v>
          </cell>
        </row>
        <row r="49">
          <cell r="B49" t="str">
            <v>MANTENIMIENTO PREDICTIVO DE EQUIPOS Y SISTEMAS DEL CENTRO DE CÓMPUTO</v>
          </cell>
          <cell r="C49">
            <v>8</v>
          </cell>
          <cell r="D49">
            <v>2</v>
          </cell>
          <cell r="E49">
            <v>48</v>
          </cell>
          <cell r="F49" t="str">
            <v>martes, jueves</v>
          </cell>
          <cell r="G49">
            <v>45762</v>
          </cell>
        </row>
        <row r="50">
          <cell r="B50" t="str">
            <v>CAPACITACIÓN EN EL USO DEL SISTEMA INFORMÁTICO</v>
          </cell>
          <cell r="C50">
            <v>11</v>
          </cell>
          <cell r="D50">
            <v>3</v>
          </cell>
          <cell r="E50">
            <v>64</v>
          </cell>
          <cell r="F50" t="str">
            <v>lunes, miercoles</v>
          </cell>
          <cell r="G50">
            <v>45782</v>
          </cell>
        </row>
        <row r="51">
          <cell r="B51" t="str">
            <v>HABILIDADES COMUNITIVAS</v>
          </cell>
          <cell r="C51">
            <v>8</v>
          </cell>
          <cell r="D51">
            <v>2</v>
          </cell>
          <cell r="E51">
            <v>48</v>
          </cell>
          <cell r="F51" t="str">
            <v>viernes</v>
          </cell>
          <cell r="G51">
            <v>45730</v>
          </cell>
        </row>
        <row r="52">
          <cell r="B52" t="str">
            <v>HERRAMIENTAS DE OFICINA Y APLICACIONES DE INTERNET</v>
          </cell>
          <cell r="C52">
            <v>8</v>
          </cell>
          <cell r="D52">
            <v>2</v>
          </cell>
          <cell r="E52">
            <v>48</v>
          </cell>
          <cell r="F52" t="str">
            <v>viernes</v>
          </cell>
          <cell r="G52">
            <v>45786</v>
          </cell>
        </row>
        <row r="53">
          <cell r="B53" t="str">
            <v>EXPERIENCIA FORMATIVA EN SITUACIONES REALES DE TRABAJO</v>
          </cell>
          <cell r="C53">
            <v>8</v>
          </cell>
          <cell r="D53">
            <v>6</v>
          </cell>
          <cell r="E53">
            <v>192</v>
          </cell>
          <cell r="F53" t="str">
            <v>lunes a jueves</v>
          </cell>
          <cell r="G53">
            <v>45797</v>
          </cell>
        </row>
        <row r="54">
          <cell r="A54" t="str">
            <v>MONITOREO Y ACCIONES DE MANTENIMIENTO DE CENTROS DE CÓMPUTO</v>
          </cell>
          <cell r="B54" t="str">
            <v>MONITOREO DEL RENDIMIENTO FÍSICO Y LÓGICO DEL CENTRO DE CÓMPUTO</v>
          </cell>
          <cell r="C54">
            <v>8</v>
          </cell>
          <cell r="D54">
            <v>2</v>
          </cell>
          <cell r="E54">
            <v>48</v>
          </cell>
          <cell r="F54" t="str">
            <v>lunes a jueves</v>
          </cell>
          <cell r="G54">
            <v>45880</v>
          </cell>
        </row>
        <row r="55">
          <cell r="B55" t="str">
            <v>MANTENIMIENTO DE RUTINA Y SALVAGUARDA DE INFORMACIÓN EN EL CENTRO DE CÓMPUTO</v>
          </cell>
          <cell r="C55">
            <v>16</v>
          </cell>
          <cell r="D55">
            <v>4</v>
          </cell>
          <cell r="E55">
            <v>96</v>
          </cell>
          <cell r="F55" t="str">
            <v>lunes- miércoles</v>
          </cell>
          <cell r="G55">
            <v>45894</v>
          </cell>
        </row>
        <row r="56">
          <cell r="B56" t="str">
            <v>REPORTES OPERATIVOS Y HERRAMIENTAS DE OFIMÁTICA</v>
          </cell>
          <cell r="C56">
            <v>16</v>
          </cell>
          <cell r="D56">
            <v>4</v>
          </cell>
          <cell r="E56">
            <v>96</v>
          </cell>
          <cell r="F56" t="str">
            <v>martes, jueves</v>
          </cell>
          <cell r="G56">
            <v>45895</v>
          </cell>
        </row>
        <row r="57">
          <cell r="B57" t="str">
            <v>COMPORTAMIENTO ÉTICO</v>
          </cell>
          <cell r="C57">
            <v>8</v>
          </cell>
          <cell r="D57">
            <v>2</v>
          </cell>
          <cell r="E57">
            <v>48</v>
          </cell>
          <cell r="F57" t="str">
            <v>viernes</v>
          </cell>
          <cell r="G57">
            <v>45884</v>
          </cell>
        </row>
        <row r="58">
          <cell r="B58" t="str">
            <v>EMPRENDIMIENTO</v>
          </cell>
          <cell r="C58">
            <v>8</v>
          </cell>
          <cell r="D58">
            <v>2</v>
          </cell>
          <cell r="E58">
            <v>48</v>
          </cell>
          <cell r="F58" t="str">
            <v>viernes</v>
          </cell>
          <cell r="G58">
            <v>45947</v>
          </cell>
        </row>
        <row r="59">
          <cell r="B59" t="str">
            <v>EXPERIENCIA FORMATIVA EN SITUACIONES REALES DE TRABAJO</v>
          </cell>
          <cell r="C59">
            <v>32</v>
          </cell>
          <cell r="D59">
            <v>6</v>
          </cell>
          <cell r="E59">
            <v>192</v>
          </cell>
          <cell r="F59" t="str">
            <v>lunes a jueves</v>
          </cell>
          <cell r="G59">
            <v>45951</v>
          </cell>
        </row>
        <row r="60">
          <cell r="A60" t="str">
            <v>CONTROL DE CALIDAD Y ELABORACION DE MATRICES PARA ESTAMPADO</v>
          </cell>
          <cell r="B60" t="str">
            <v>ORGANIZACIÓN DEL ÁREA DE TRABAJO</v>
          </cell>
          <cell r="C60">
            <v>5</v>
          </cell>
          <cell r="D60">
            <v>2</v>
          </cell>
          <cell r="E60">
            <v>32</v>
          </cell>
          <cell r="F60" t="str">
            <v>lunes, miercoles</v>
          </cell>
          <cell r="G60">
            <v>45733</v>
          </cell>
        </row>
        <row r="61">
          <cell r="B61" t="str">
            <v>CALIDAD EN LA PRE-PRODUCCIÓN DEL ESTAMPADO</v>
          </cell>
          <cell r="C61">
            <v>8</v>
          </cell>
          <cell r="D61">
            <v>2</v>
          </cell>
          <cell r="E61">
            <v>48</v>
          </cell>
          <cell r="F61" t="str">
            <v>lunes -miercoles</v>
          </cell>
          <cell r="G61">
            <v>45754</v>
          </cell>
        </row>
        <row r="62">
          <cell r="B62" t="str">
            <v>CALIDAD EN LA PRODUCCIÓN DEL ESTAMPADO</v>
          </cell>
          <cell r="C62">
            <v>8</v>
          </cell>
          <cell r="D62">
            <v>2</v>
          </cell>
          <cell r="E62">
            <v>48</v>
          </cell>
          <cell r="F62" t="str">
            <v>lunes - miercoles</v>
          </cell>
          <cell r="G62">
            <v>45782</v>
          </cell>
        </row>
        <row r="63">
          <cell r="B63" t="str">
            <v>ARMADO DE MATRIZ</v>
          </cell>
          <cell r="C63">
            <v>11</v>
          </cell>
          <cell r="D63">
            <v>2</v>
          </cell>
          <cell r="E63">
            <v>64</v>
          </cell>
          <cell r="F63" t="str">
            <v>martes- jueves</v>
          </cell>
          <cell r="G63">
            <v>45734</v>
          </cell>
        </row>
        <row r="64">
          <cell r="B64" t="str">
            <v>VERIFICACIÓN DE LA MATRIZ</v>
          </cell>
          <cell r="C64">
            <v>8</v>
          </cell>
          <cell r="D64">
            <v>2</v>
          </cell>
          <cell r="E64">
            <v>48</v>
          </cell>
          <cell r="F64" t="str">
            <v>martes- jueves</v>
          </cell>
          <cell r="G64">
            <v>45776</v>
          </cell>
        </row>
        <row r="65">
          <cell r="B65" t="str">
            <v>APLICACIONES DE HERRAMIENTAS INFORMÁTICAS</v>
          </cell>
          <cell r="C65">
            <v>8</v>
          </cell>
          <cell r="D65">
            <v>2</v>
          </cell>
          <cell r="E65">
            <v>48</v>
          </cell>
          <cell r="F65" t="str">
            <v>viernes</v>
          </cell>
          <cell r="G65">
            <v>45730</v>
          </cell>
        </row>
        <row r="66">
          <cell r="B66" t="str">
            <v>COMUNICACIÓN PARA EL DESARROLLO PERSONAL Y PROFESIONAL</v>
          </cell>
          <cell r="C66">
            <v>8</v>
          </cell>
          <cell r="D66">
            <v>2</v>
          </cell>
          <cell r="E66">
            <v>48</v>
          </cell>
          <cell r="F66" t="str">
            <v>viernes</v>
          </cell>
          <cell r="G66">
            <v>45786</v>
          </cell>
        </row>
        <row r="67">
          <cell r="B67" t="str">
            <v>EXPERIENCIAS FORMATIVAS EN SITUACIONES REALES DE TRABAJO</v>
          </cell>
          <cell r="C67">
            <v>32</v>
          </cell>
          <cell r="D67">
            <v>6</v>
          </cell>
          <cell r="E67">
            <v>192</v>
          </cell>
          <cell r="F67" t="str">
            <v>lunes a jueves</v>
          </cell>
          <cell r="G67">
            <v>45806</v>
          </cell>
        </row>
        <row r="68">
          <cell r="A68" t="str">
            <v>MATIZADO TEXTIL Y ESTAMPADO TEXTIL</v>
          </cell>
          <cell r="B68" t="str">
            <v>TECNOLOGÍA DE EQUIPOS Y MATERIALES PARA EL ESTAMPADO</v>
          </cell>
          <cell r="C68">
            <v>5</v>
          </cell>
          <cell r="D68">
            <v>2</v>
          </cell>
          <cell r="E68">
            <v>32</v>
          </cell>
          <cell r="F68" t="str">
            <v>lunes- miercoles</v>
          </cell>
          <cell r="G68">
            <v>45880</v>
          </cell>
        </row>
        <row r="69">
          <cell r="B69" t="str">
            <v>MATIZADO PARA ESTAMPADO TEXTIL</v>
          </cell>
          <cell r="C69">
            <v>8</v>
          </cell>
          <cell r="D69">
            <v>2</v>
          </cell>
          <cell r="E69">
            <v>48</v>
          </cell>
          <cell r="F69" t="str">
            <v>martes-jueves</v>
          </cell>
          <cell r="G69">
            <v>45881</v>
          </cell>
        </row>
        <row r="70">
          <cell r="B70" t="str">
            <v>HABILITADO PARA EL ESTAMPADO</v>
          </cell>
          <cell r="C70">
            <v>8</v>
          </cell>
          <cell r="D70">
            <v>2</v>
          </cell>
          <cell r="E70">
            <v>48</v>
          </cell>
          <cell r="F70" t="str">
            <v>lunes- miercoles</v>
          </cell>
          <cell r="G70">
            <v>45901</v>
          </cell>
        </row>
        <row r="71">
          <cell r="B71" t="str">
            <v>FIJADO DE SUSTRATO PARA ESTAMPADO</v>
          </cell>
          <cell r="C71">
            <v>8</v>
          </cell>
          <cell r="D71">
            <v>2</v>
          </cell>
          <cell r="E71">
            <v>48</v>
          </cell>
          <cell r="F71" t="str">
            <v>martes-jueves</v>
          </cell>
          <cell r="G71">
            <v>45909</v>
          </cell>
        </row>
        <row r="72">
          <cell r="B72" t="str">
            <v>TÉCNICAS DE ESTAMPADO</v>
          </cell>
          <cell r="C72">
            <v>11</v>
          </cell>
          <cell r="D72">
            <v>2</v>
          </cell>
          <cell r="E72">
            <v>64</v>
          </cell>
          <cell r="F72" t="str">
            <v>lunes a jueves</v>
          </cell>
          <cell r="G72">
            <v>45929</v>
          </cell>
        </row>
        <row r="73">
          <cell r="B73" t="str">
            <v>ÉTICA PROFESIONAL</v>
          </cell>
          <cell r="C73">
            <v>8</v>
          </cell>
          <cell r="D73">
            <v>2</v>
          </cell>
          <cell r="E73">
            <v>48</v>
          </cell>
          <cell r="F73" t="str">
            <v>viernes</v>
          </cell>
          <cell r="G73">
            <v>45884</v>
          </cell>
        </row>
        <row r="74">
          <cell r="B74" t="str">
            <v>PLAN DE NEGOCIOS</v>
          </cell>
          <cell r="C74">
            <v>8</v>
          </cell>
          <cell r="D74">
            <v>2</v>
          </cell>
          <cell r="E74">
            <v>48</v>
          </cell>
          <cell r="F74" t="str">
            <v>viernes</v>
          </cell>
          <cell r="G74">
            <v>45947</v>
          </cell>
        </row>
        <row r="75">
          <cell r="B75" t="str">
            <v>EXPERIENCIAS FORMATIVAS EN SITUACIONES REALES DE TRABAJO</v>
          </cell>
          <cell r="C75">
            <v>32</v>
          </cell>
          <cell r="D75">
            <v>6</v>
          </cell>
          <cell r="E75">
            <v>192</v>
          </cell>
          <cell r="F75" t="str">
            <v>lunes a jueves</v>
          </cell>
          <cell r="G75">
            <v>45945</v>
          </cell>
        </row>
        <row r="76">
          <cell r="A76" t="str">
            <v>REPUJADO EN CUERO BASICO 1</v>
          </cell>
          <cell r="B76" t="str">
            <v>REPUJADO EN CUERO BASICO 1</v>
          </cell>
          <cell r="C76">
            <v>8</v>
          </cell>
          <cell r="D76">
            <v>2</v>
          </cell>
          <cell r="E76">
            <v>48</v>
          </cell>
          <cell r="F76" t="str">
            <v>martes y jueves</v>
          </cell>
          <cell r="G76">
            <v>45881</v>
          </cell>
        </row>
        <row r="77">
          <cell r="B77" t="str">
            <v>REPUJADO EN CUERO BASICO 2</v>
          </cell>
          <cell r="C77">
            <v>8</v>
          </cell>
          <cell r="D77">
            <v>2</v>
          </cell>
          <cell r="E77">
            <v>48</v>
          </cell>
          <cell r="F77" t="str">
            <v>martes y jueves</v>
          </cell>
          <cell r="G77">
            <v>45909</v>
          </cell>
        </row>
        <row r="78">
          <cell r="B78" t="str">
            <v>REPUJADO EN CUERO INTERMEDIO 1</v>
          </cell>
          <cell r="C78">
            <v>8</v>
          </cell>
          <cell r="D78">
            <v>2</v>
          </cell>
          <cell r="E78">
            <v>48</v>
          </cell>
          <cell r="F78" t="str">
            <v>martes y jueves</v>
          </cell>
          <cell r="G78">
            <v>45937</v>
          </cell>
        </row>
        <row r="79">
          <cell r="B79" t="str">
            <v>REPUJADO EN CUERO INTERMEDIO 2</v>
          </cell>
          <cell r="C79">
            <v>8</v>
          </cell>
          <cell r="D79">
            <v>2</v>
          </cell>
          <cell r="E79">
            <v>48</v>
          </cell>
          <cell r="F79" t="str">
            <v>martes y jueves</v>
          </cell>
          <cell r="G79">
            <v>45965</v>
          </cell>
        </row>
        <row r="80">
          <cell r="B80" t="str">
            <v>PATRONAJE Y CONFECCION DE MOCHILA PARA CABALLERO</v>
          </cell>
          <cell r="C80">
            <v>8</v>
          </cell>
          <cell r="D80">
            <v>2</v>
          </cell>
          <cell r="E80">
            <v>48</v>
          </cell>
          <cell r="F80" t="str">
            <v>lunes y miercoles</v>
          </cell>
          <cell r="G80">
            <v>45880</v>
          </cell>
        </row>
        <row r="81">
          <cell r="B81" t="str">
            <v>PATRONAJE Y CONFECCION DE BOLSO ESTRUCTURADO</v>
          </cell>
          <cell r="C81">
            <v>8</v>
          </cell>
          <cell r="D81">
            <v>2</v>
          </cell>
          <cell r="E81">
            <v>48</v>
          </cell>
          <cell r="F81" t="str">
            <v>lunes y miercoles</v>
          </cell>
          <cell r="G81">
            <v>45908</v>
          </cell>
        </row>
        <row r="82">
          <cell r="B82" t="str">
            <v>PATRONAJE Y CONFECCION DE MOCHILA VINTAGE</v>
          </cell>
          <cell r="C82">
            <v>8</v>
          </cell>
          <cell r="D82">
            <v>2</v>
          </cell>
          <cell r="E82">
            <v>48</v>
          </cell>
          <cell r="F82" t="str">
            <v>lunes y miercoles</v>
          </cell>
          <cell r="G82">
            <v>45936</v>
          </cell>
        </row>
        <row r="83">
          <cell r="B83" t="str">
            <v>PATRONAJE Y CONFECCION DE BOLSO DE VESTIR</v>
          </cell>
          <cell r="C83">
            <v>8</v>
          </cell>
          <cell r="D83">
            <v>2</v>
          </cell>
          <cell r="E83">
            <v>48</v>
          </cell>
          <cell r="F83" t="str">
            <v>lunes y miercoles</v>
          </cell>
          <cell r="G83">
            <v>45966</v>
          </cell>
        </row>
        <row r="84">
          <cell r="B84" t="str">
            <v>CONFECCIÓN DE ZAPATILLA BÁSICA</v>
          </cell>
          <cell r="C84">
            <v>8</v>
          </cell>
          <cell r="D84">
            <v>2</v>
          </cell>
          <cell r="E84">
            <v>48</v>
          </cell>
          <cell r="F84" t="str">
            <v>sabados</v>
          </cell>
          <cell r="G84">
            <v>45885</v>
          </cell>
        </row>
        <row r="85">
          <cell r="A85" t="str">
            <v>CURSO DE DECORACION DE TORTAS</v>
          </cell>
          <cell r="B85" t="str">
            <v>CURSO DE DECORACIÓN DE TORTAS</v>
          </cell>
          <cell r="C85">
            <v>13</v>
          </cell>
          <cell r="D85">
            <v>2</v>
          </cell>
          <cell r="E85">
            <v>78</v>
          </cell>
          <cell r="F85" t="str">
            <v>lunes y miercoles</v>
          </cell>
          <cell r="G85">
            <v>45880</v>
          </cell>
        </row>
        <row r="86">
          <cell r="B86" t="str">
            <v>CURSO DE DECORACIÓN DE TORTAS</v>
          </cell>
          <cell r="C86">
            <v>13</v>
          </cell>
          <cell r="D86">
            <v>2</v>
          </cell>
          <cell r="E86">
            <v>78</v>
          </cell>
          <cell r="F86" t="str">
            <v>martes y jueves</v>
          </cell>
          <cell r="G86">
            <v>45881</v>
          </cell>
        </row>
        <row r="87">
          <cell r="A87" t="str">
            <v>FC DE MARROQUINERIA</v>
          </cell>
          <cell r="B87" t="str">
            <v>MARROQUINERIA 1</v>
          </cell>
          <cell r="C87">
            <v>12</v>
          </cell>
          <cell r="D87">
            <v>2</v>
          </cell>
          <cell r="E87">
            <v>72</v>
          </cell>
          <cell r="F87" t="str">
            <v>lunes, miercoles y viernes</v>
          </cell>
          <cell r="G87">
            <v>45887</v>
          </cell>
        </row>
        <row r="88">
          <cell r="B88" t="str">
            <v>MARROQUINERIA 2</v>
          </cell>
          <cell r="C88">
            <v>12</v>
          </cell>
          <cell r="D88">
            <v>2</v>
          </cell>
          <cell r="E88">
            <v>72</v>
          </cell>
          <cell r="F88" t="str">
            <v>lunes, miercoles y viernes</v>
          </cell>
          <cell r="G88">
            <v>45917</v>
          </cell>
        </row>
        <row r="89">
          <cell r="B89" t="str">
            <v>MARROQUINERIA 3</v>
          </cell>
          <cell r="C89">
            <v>12</v>
          </cell>
          <cell r="D89">
            <v>2</v>
          </cell>
          <cell r="E89">
            <v>72</v>
          </cell>
          <cell r="F89" t="str">
            <v>lunes, miercoles y viernes</v>
          </cell>
          <cell r="G89">
            <v>45950</v>
          </cell>
        </row>
        <row r="90">
          <cell r="B90" t="str">
            <v>MARROQUINERIA 4</v>
          </cell>
          <cell r="C90">
            <v>12</v>
          </cell>
          <cell r="D90">
            <v>2</v>
          </cell>
          <cell r="E90">
            <v>72</v>
          </cell>
          <cell r="F90" t="str">
            <v>lunes, miercoles y viernes</v>
          </cell>
          <cell r="G90">
            <v>45978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D6C8-F6B5-4876-9382-0038B84B0439}">
  <dimension ref="A1:N32"/>
  <sheetViews>
    <sheetView tabSelected="1" workbookViewId="0">
      <selection activeCell="L7" sqref="L7:N7"/>
    </sheetView>
  </sheetViews>
  <sheetFormatPr baseColWidth="10" defaultRowHeight="15" x14ac:dyDescent="0.25"/>
  <sheetData>
    <row r="1" spans="1:14" x14ac:dyDescent="0.2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ht="19.5" x14ac:dyDescent="0.25">
      <c r="A2" s="5"/>
      <c r="B2" s="6"/>
      <c r="C2" s="7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8"/>
    </row>
    <row r="3" spans="1:14" ht="18" x14ac:dyDescent="0.25">
      <c r="A3" s="9"/>
      <c r="B3" s="10"/>
      <c r="C3" s="11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2"/>
    </row>
    <row r="4" spans="1:14" x14ac:dyDescent="0.25">
      <c r="A4" s="13" t="s">
        <v>2</v>
      </c>
      <c r="B4" s="14"/>
      <c r="C4" s="15"/>
      <c r="D4" s="16" t="s">
        <v>3</v>
      </c>
      <c r="E4" s="14"/>
      <c r="F4" s="14"/>
      <c r="G4" s="14"/>
      <c r="H4" s="15"/>
      <c r="I4" s="17" t="s">
        <v>4</v>
      </c>
      <c r="J4" s="14"/>
      <c r="K4" s="15"/>
      <c r="L4" s="18" t="s">
        <v>5</v>
      </c>
      <c r="M4" s="14"/>
      <c r="N4" s="15"/>
    </row>
    <row r="5" spans="1:14" x14ac:dyDescent="0.25">
      <c r="A5" s="13" t="s">
        <v>6</v>
      </c>
      <c r="B5" s="14"/>
      <c r="C5" s="15"/>
      <c r="D5" s="18">
        <v>1048958</v>
      </c>
      <c r="E5" s="14"/>
      <c r="F5" s="14"/>
      <c r="G5" s="14"/>
      <c r="H5" s="15"/>
      <c r="I5" s="17" t="s">
        <v>7</v>
      </c>
      <c r="J5" s="14"/>
      <c r="K5" s="15"/>
      <c r="L5" s="18" t="s">
        <v>8</v>
      </c>
      <c r="M5" s="14"/>
      <c r="N5" s="15"/>
    </row>
    <row r="6" spans="1:14" x14ac:dyDescent="0.25">
      <c r="A6" s="13" t="s">
        <v>9</v>
      </c>
      <c r="B6" s="14"/>
      <c r="C6" s="15"/>
      <c r="D6" s="16" t="s">
        <v>10</v>
      </c>
      <c r="E6" s="14"/>
      <c r="F6" s="14"/>
      <c r="G6" s="14"/>
      <c r="H6" s="15"/>
      <c r="I6" s="17" t="s">
        <v>11</v>
      </c>
      <c r="J6" s="14"/>
      <c r="K6" s="15"/>
      <c r="L6" s="18" t="s">
        <v>12</v>
      </c>
      <c r="M6" s="14"/>
      <c r="N6" s="15"/>
    </row>
    <row r="7" spans="1:14" x14ac:dyDescent="0.25">
      <c r="A7" s="13" t="s">
        <v>13</v>
      </c>
      <c r="B7" s="14"/>
      <c r="C7" s="15"/>
      <c r="D7" s="16" t="s">
        <v>10</v>
      </c>
      <c r="E7" s="14"/>
      <c r="F7" s="14"/>
      <c r="G7" s="14"/>
      <c r="H7" s="15"/>
      <c r="I7" s="17" t="s">
        <v>7</v>
      </c>
      <c r="J7" s="14"/>
      <c r="K7" s="15"/>
      <c r="L7" s="18" t="s">
        <v>8</v>
      </c>
      <c r="M7" s="14"/>
      <c r="N7" s="15"/>
    </row>
    <row r="8" spans="1:14" x14ac:dyDescent="0.25">
      <c r="A8" s="13" t="s">
        <v>14</v>
      </c>
      <c r="B8" s="14"/>
      <c r="C8" s="15"/>
      <c r="D8" s="16"/>
      <c r="E8" s="14"/>
      <c r="F8" s="14"/>
      <c r="G8" s="14"/>
      <c r="H8" s="15"/>
      <c r="I8" s="17" t="s">
        <v>15</v>
      </c>
      <c r="J8" s="14"/>
      <c r="K8" s="15"/>
      <c r="L8" s="18"/>
      <c r="M8" s="14"/>
      <c r="N8" s="15"/>
    </row>
    <row r="9" spans="1:14" x14ac:dyDescent="0.25">
      <c r="A9" s="13" t="s">
        <v>16</v>
      </c>
      <c r="B9" s="14"/>
      <c r="C9" s="15"/>
      <c r="D9" s="19"/>
      <c r="E9" s="14"/>
      <c r="F9" s="14"/>
      <c r="G9" s="14"/>
      <c r="H9" s="15"/>
      <c r="I9" s="17" t="s">
        <v>17</v>
      </c>
      <c r="J9" s="14"/>
      <c r="K9" s="15"/>
      <c r="L9" s="18" t="str">
        <f ca="1">IFERROR(__xludf.DUMMYFUNCTION("CONCATENATE(
  TEXT(MIN(FILTER(T:T, T:T&lt;&gt;"""")), ""dd/mm/yyyy""), 
  "" - "", 
  TEXT(MAX(FILTER(U:U, U:U&lt;&gt;"""")), ""dd/mm/yyyy"")
)"),"11/08/2025 - 11/12/2025")</f>
        <v>11/08/2025 - 11/12/2025</v>
      </c>
      <c r="M9" s="14"/>
      <c r="N9" s="15"/>
    </row>
    <row r="10" spans="1:14" x14ac:dyDescent="0.25">
      <c r="A10" s="13" t="s">
        <v>18</v>
      </c>
      <c r="B10" s="14"/>
      <c r="C10" s="15"/>
      <c r="D10" s="16" t="s">
        <v>19</v>
      </c>
      <c r="E10" s="14"/>
      <c r="F10" s="14"/>
      <c r="G10" s="14"/>
      <c r="H10" s="15"/>
      <c r="I10" s="17" t="s">
        <v>20</v>
      </c>
      <c r="J10" s="14"/>
      <c r="K10" s="15"/>
      <c r="L10" s="18"/>
      <c r="M10" s="14"/>
      <c r="N10" s="15"/>
    </row>
    <row r="11" spans="1:14" x14ac:dyDescent="0.25">
      <c r="A11" s="20" t="s">
        <v>21</v>
      </c>
      <c r="B11" s="21"/>
      <c r="C11" s="21"/>
      <c r="D11" s="16" t="s">
        <v>22</v>
      </c>
      <c r="E11" s="14"/>
      <c r="F11" s="14"/>
      <c r="G11" s="14"/>
      <c r="H11" s="15"/>
      <c r="I11" s="17" t="s">
        <v>23</v>
      </c>
      <c r="J11" s="14"/>
      <c r="K11" s="15"/>
      <c r="L11" s="18"/>
      <c r="M11" s="14"/>
      <c r="N11" s="15"/>
    </row>
    <row r="12" spans="1:14" x14ac:dyDescent="0.25">
      <c r="A12" s="13" t="s">
        <v>24</v>
      </c>
      <c r="B12" s="14"/>
      <c r="C12" s="15"/>
      <c r="D12" s="16"/>
      <c r="E12" s="14"/>
      <c r="F12" s="14"/>
      <c r="G12" s="14"/>
      <c r="H12" s="14"/>
      <c r="I12" s="14"/>
      <c r="J12" s="14"/>
      <c r="K12" s="14"/>
      <c r="L12" s="14"/>
      <c r="M12" s="14"/>
      <c r="N12" s="15"/>
    </row>
    <row r="13" spans="1:14" ht="18" x14ac:dyDescent="0.25">
      <c r="A13" s="22" t="s">
        <v>25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5"/>
    </row>
    <row r="14" spans="1:14" x14ac:dyDescent="0.25">
      <c r="A14" s="23" t="s">
        <v>26</v>
      </c>
      <c r="B14" s="15"/>
      <c r="C14" s="24" t="s">
        <v>27</v>
      </c>
      <c r="D14" s="14"/>
      <c r="E14" s="14"/>
      <c r="F14" s="14"/>
      <c r="G14" s="14"/>
      <c r="H14" s="15"/>
      <c r="I14" s="24" t="s">
        <v>28</v>
      </c>
      <c r="J14" s="15"/>
      <c r="K14" s="24" t="s">
        <v>29</v>
      </c>
      <c r="L14" s="15"/>
      <c r="M14" s="24" t="s">
        <v>30</v>
      </c>
      <c r="N14" s="15"/>
    </row>
    <row r="15" spans="1:14" x14ac:dyDescent="0.25">
      <c r="A15" s="23">
        <v>1</v>
      </c>
      <c r="B15" s="15"/>
      <c r="C15" s="25"/>
      <c r="D15" s="14"/>
      <c r="E15" s="14"/>
      <c r="F15" s="14"/>
      <c r="G15" s="14"/>
      <c r="H15" s="15"/>
      <c r="I15" s="26" t="str">
        <f>IFERROR(VLOOKUP(C15,[1]UD!A:G,3,0),"")</f>
        <v/>
      </c>
      <c r="J15" s="15"/>
      <c r="K15" s="26" t="str">
        <f>IFERROR(VLOOKUP(C15,[1]UD!A:G,4,0),"")</f>
        <v/>
      </c>
      <c r="L15" s="15"/>
      <c r="M15" s="27" t="str">
        <f t="shared" ref="M15:M23" si="0">IF(C15&lt;&gt;"","G","")</f>
        <v/>
      </c>
      <c r="N15" s="15"/>
    </row>
    <row r="16" spans="1:14" x14ac:dyDescent="0.25">
      <c r="A16" s="23">
        <v>2</v>
      </c>
      <c r="B16" s="15"/>
      <c r="C16" s="25" t="str">
        <f t="shared" ref="C16:C23" si="1">IFERROR(RIGHT(TRIM(#REF!), LEN(TRIM(#REF!))-2),"")</f>
        <v/>
      </c>
      <c r="D16" s="14"/>
      <c r="E16" s="14"/>
      <c r="F16" s="14"/>
      <c r="G16" s="14"/>
      <c r="H16" s="15"/>
      <c r="I16" s="26" t="str">
        <f>IFERROR(VLOOKUP(C16,[1]UD!A:G,3,0),"")</f>
        <v/>
      </c>
      <c r="J16" s="15"/>
      <c r="K16" s="26" t="str">
        <f>IFERROR(VLOOKUP(C16,[1]UD!A:G,4,0),"")</f>
        <v/>
      </c>
      <c r="L16" s="15"/>
      <c r="M16" s="27" t="str">
        <f t="shared" si="0"/>
        <v/>
      </c>
      <c r="N16" s="15"/>
    </row>
    <row r="17" spans="1:14" x14ac:dyDescent="0.25">
      <c r="A17" s="23">
        <v>3</v>
      </c>
      <c r="B17" s="15"/>
      <c r="C17" s="25" t="str">
        <f t="shared" ref="C17:C24" si="2">IFERROR(RIGHT(TRIM(#REF!), LEN(TRIM(#REF!))-2),"")</f>
        <v/>
      </c>
      <c r="D17" s="14"/>
      <c r="E17" s="14"/>
      <c r="F17" s="14"/>
      <c r="G17" s="14"/>
      <c r="H17" s="15"/>
      <c r="I17" s="26" t="str">
        <f>IFERROR(VLOOKUP(C17,[1]UD!A:G,3,0),"")</f>
        <v/>
      </c>
      <c r="J17" s="15"/>
      <c r="K17" s="26" t="str">
        <f>IFERROR(VLOOKUP(C17,[1]UD!A:G,4,0),"")</f>
        <v/>
      </c>
      <c r="L17" s="15"/>
      <c r="M17" s="27" t="str">
        <f t="shared" si="0"/>
        <v/>
      </c>
      <c r="N17" s="15"/>
    </row>
    <row r="18" spans="1:14" x14ac:dyDescent="0.25">
      <c r="A18" s="23">
        <v>4</v>
      </c>
      <c r="B18" s="15"/>
      <c r="C18" s="25" t="str">
        <f t="shared" ref="C18:C25" si="3">IFERROR(RIGHT(TRIM(#REF!), LEN(TRIM(#REF!))-2),"")</f>
        <v/>
      </c>
      <c r="D18" s="14"/>
      <c r="E18" s="14"/>
      <c r="F18" s="14"/>
      <c r="G18" s="14"/>
      <c r="H18" s="15"/>
      <c r="I18" s="26" t="str">
        <f>IFERROR(VLOOKUP(C18,[1]UD!A:G,3,0),"")</f>
        <v/>
      </c>
      <c r="J18" s="15"/>
      <c r="K18" s="26" t="str">
        <f>IFERROR(VLOOKUP(C18,[1]UD!A:G,4,0),"")</f>
        <v/>
      </c>
      <c r="L18" s="15"/>
      <c r="M18" s="27" t="str">
        <f t="shared" si="0"/>
        <v/>
      </c>
      <c r="N18" s="15"/>
    </row>
    <row r="19" spans="1:14" x14ac:dyDescent="0.25">
      <c r="A19" s="23">
        <v>5</v>
      </c>
      <c r="B19" s="15"/>
      <c r="C19" s="25" t="str">
        <f t="shared" ref="C19:C26" si="4">IFERROR(RIGHT(TRIM(#REF!), LEN(TRIM(#REF!))-2),"")</f>
        <v/>
      </c>
      <c r="D19" s="14"/>
      <c r="E19" s="14"/>
      <c r="F19" s="14"/>
      <c r="G19" s="14"/>
      <c r="H19" s="15"/>
      <c r="I19" s="26" t="str">
        <f>IFERROR(VLOOKUP(C19,[1]UD!A:G,3,0),"")</f>
        <v/>
      </c>
      <c r="J19" s="15"/>
      <c r="K19" s="26" t="str">
        <f>IFERROR(VLOOKUP(C19,[1]UD!A:G,4,0),"")</f>
        <v/>
      </c>
      <c r="L19" s="15"/>
      <c r="M19" s="27" t="str">
        <f t="shared" si="0"/>
        <v/>
      </c>
      <c r="N19" s="15"/>
    </row>
    <row r="20" spans="1:14" x14ac:dyDescent="0.25">
      <c r="A20" s="23">
        <v>6</v>
      </c>
      <c r="B20" s="15"/>
      <c r="C20" s="25" t="str">
        <f t="shared" ref="C20:C27" si="5">IFERROR(RIGHT(TRIM(#REF!), LEN(TRIM(#REF!))-2),"")</f>
        <v/>
      </c>
      <c r="D20" s="14"/>
      <c r="E20" s="14"/>
      <c r="F20" s="14"/>
      <c r="G20" s="14"/>
      <c r="H20" s="15"/>
      <c r="I20" s="26" t="str">
        <f>IFERROR(VLOOKUP(C20,[1]UD!A:G,3,0),"")</f>
        <v/>
      </c>
      <c r="J20" s="15"/>
      <c r="K20" s="26" t="str">
        <f>IFERROR(VLOOKUP(C20,[1]UD!A:G,4,0),"")</f>
        <v/>
      </c>
      <c r="L20" s="15"/>
      <c r="M20" s="27" t="str">
        <f t="shared" si="0"/>
        <v/>
      </c>
      <c r="N20" s="15"/>
    </row>
    <row r="21" spans="1:14" x14ac:dyDescent="0.25">
      <c r="A21" s="23">
        <v>7</v>
      </c>
      <c r="B21" s="15"/>
      <c r="C21" s="25" t="str">
        <f t="shared" ref="C21:C28" si="6">IFERROR(RIGHT(TRIM(#REF!), LEN(TRIM(#REF!))-2),"")</f>
        <v/>
      </c>
      <c r="D21" s="14"/>
      <c r="E21" s="14"/>
      <c r="F21" s="14"/>
      <c r="G21" s="14"/>
      <c r="H21" s="15"/>
      <c r="I21" s="26" t="str">
        <f>IFERROR(VLOOKUP(C21,[1]UD!A:G,3,0),"")</f>
        <v/>
      </c>
      <c r="J21" s="15"/>
      <c r="K21" s="26" t="str">
        <f>IFERROR(VLOOKUP(C21,[1]UD!A:G,4,0),"")</f>
        <v/>
      </c>
      <c r="L21" s="15"/>
      <c r="M21" s="27" t="str">
        <f t="shared" si="0"/>
        <v/>
      </c>
      <c r="N21" s="15"/>
    </row>
    <row r="22" spans="1:14" x14ac:dyDescent="0.25">
      <c r="A22" s="23">
        <v>8</v>
      </c>
      <c r="B22" s="15"/>
      <c r="C22" s="25" t="str">
        <f t="shared" ref="C22:C29" si="7">IFERROR(RIGHT(TRIM(#REF!), LEN(TRIM(#REF!))-2),"")</f>
        <v/>
      </c>
      <c r="D22" s="14"/>
      <c r="E22" s="14"/>
      <c r="F22" s="14"/>
      <c r="G22" s="14"/>
      <c r="H22" s="15"/>
      <c r="I22" s="26" t="str">
        <f>IFERROR(VLOOKUP(C22,[1]UD!A:G,3,0),"")</f>
        <v/>
      </c>
      <c r="J22" s="15"/>
      <c r="K22" s="26" t="str">
        <f>IFERROR(VLOOKUP(C22,[1]UD!A:G,4,0),"")</f>
        <v/>
      </c>
      <c r="L22" s="15"/>
      <c r="M22" s="27" t="str">
        <f t="shared" si="0"/>
        <v/>
      </c>
      <c r="N22" s="15"/>
    </row>
    <row r="23" spans="1:14" x14ac:dyDescent="0.25">
      <c r="A23" s="23">
        <v>9</v>
      </c>
      <c r="B23" s="15"/>
      <c r="C23" s="25" t="str">
        <f t="shared" ref="C23:C30" si="8">IFERROR(RIGHT(TRIM(#REF!), LEN(TRIM(#REF!))-2),"")</f>
        <v/>
      </c>
      <c r="D23" s="14"/>
      <c r="E23" s="14"/>
      <c r="F23" s="14"/>
      <c r="G23" s="14"/>
      <c r="H23" s="15"/>
      <c r="I23" s="26" t="str">
        <f>IFERROR(VLOOKUP(C23,[1]UD!A:G,3,0),"")</f>
        <v/>
      </c>
      <c r="J23" s="15"/>
      <c r="K23" s="26" t="str">
        <f>IFERROR(VLOOKUP(C23,[1]UD!A:G,4,0),"")</f>
        <v/>
      </c>
      <c r="L23" s="15"/>
      <c r="M23" s="27" t="str">
        <f t="shared" si="0"/>
        <v/>
      </c>
      <c r="N23" s="15"/>
    </row>
    <row r="24" spans="1:14" x14ac:dyDescent="0.25">
      <c r="A24" s="28" t="s">
        <v>31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9"/>
    </row>
    <row r="25" spans="1:14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2"/>
    </row>
    <row r="26" spans="1:14" x14ac:dyDescent="0.25">
      <c r="A26" s="30"/>
      <c r="B26" s="15"/>
      <c r="C26" s="31"/>
      <c r="D26" s="14"/>
      <c r="E26" s="14"/>
      <c r="F26" s="14"/>
      <c r="G26" s="14"/>
      <c r="H26" s="15"/>
      <c r="I26" s="31"/>
      <c r="J26" s="15"/>
      <c r="K26" s="31"/>
      <c r="L26" s="15"/>
      <c r="M26" s="31"/>
      <c r="N26" s="15"/>
    </row>
    <row r="27" spans="1:14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</row>
    <row r="28" spans="1:14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</row>
    <row r="29" spans="1:14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spans="1:14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</row>
    <row r="31" spans="1:14" x14ac:dyDescent="0.25">
      <c r="A31" s="32"/>
      <c r="B31" s="32"/>
      <c r="C31" s="32"/>
      <c r="D31" s="33"/>
      <c r="E31" s="33"/>
      <c r="F31" s="33"/>
      <c r="G31" s="32"/>
      <c r="H31" s="32"/>
      <c r="I31" s="33"/>
      <c r="J31" s="33"/>
      <c r="K31" s="33"/>
      <c r="L31" s="32"/>
      <c r="M31" s="32"/>
      <c r="N31" s="32"/>
    </row>
    <row r="32" spans="1:14" x14ac:dyDescent="0.25">
      <c r="A32" s="32"/>
      <c r="B32" s="32"/>
      <c r="C32" s="32"/>
      <c r="D32" s="34" t="s">
        <v>32</v>
      </c>
      <c r="E32" s="6"/>
      <c r="F32" s="6"/>
      <c r="G32" s="32"/>
      <c r="H32" s="32"/>
      <c r="I32" s="35" t="s">
        <v>33</v>
      </c>
      <c r="J32" s="6"/>
      <c r="K32" s="6"/>
      <c r="L32" s="32"/>
      <c r="M32" s="32"/>
      <c r="N32" s="32"/>
    </row>
  </sheetData>
  <mergeCells count="95">
    <mergeCell ref="D32:F32"/>
    <mergeCell ref="I32:K32"/>
    <mergeCell ref="A24:N25"/>
    <mergeCell ref="A26:B26"/>
    <mergeCell ref="C26:H26"/>
    <mergeCell ref="I26:J26"/>
    <mergeCell ref="K26:L26"/>
    <mergeCell ref="M26:N26"/>
    <mergeCell ref="A22:B22"/>
    <mergeCell ref="C22:H22"/>
    <mergeCell ref="I22:J22"/>
    <mergeCell ref="K22:L22"/>
    <mergeCell ref="M22:N22"/>
    <mergeCell ref="A23:B23"/>
    <mergeCell ref="C23:H23"/>
    <mergeCell ref="I23:J23"/>
    <mergeCell ref="K23:L23"/>
    <mergeCell ref="M23:N23"/>
    <mergeCell ref="A20:B20"/>
    <mergeCell ref="C20:H20"/>
    <mergeCell ref="I20:J20"/>
    <mergeCell ref="K20:L20"/>
    <mergeCell ref="M20:N20"/>
    <mergeCell ref="A21:B21"/>
    <mergeCell ref="C21:H21"/>
    <mergeCell ref="I21:J21"/>
    <mergeCell ref="K21:L21"/>
    <mergeCell ref="M21:N21"/>
    <mergeCell ref="A18:B18"/>
    <mergeCell ref="C18:H18"/>
    <mergeCell ref="I18:J18"/>
    <mergeCell ref="K18:L18"/>
    <mergeCell ref="M18:N18"/>
    <mergeCell ref="A19:B19"/>
    <mergeCell ref="C19:H19"/>
    <mergeCell ref="I19:J19"/>
    <mergeCell ref="K19:L19"/>
    <mergeCell ref="M19:N19"/>
    <mergeCell ref="A16:B16"/>
    <mergeCell ref="C16:H16"/>
    <mergeCell ref="I16:J16"/>
    <mergeCell ref="K16:L16"/>
    <mergeCell ref="M16:N16"/>
    <mergeCell ref="A17:B17"/>
    <mergeCell ref="C17:H17"/>
    <mergeCell ref="I17:J17"/>
    <mergeCell ref="K17:L17"/>
    <mergeCell ref="M17:N17"/>
    <mergeCell ref="A14:B14"/>
    <mergeCell ref="C14:H14"/>
    <mergeCell ref="I14:J14"/>
    <mergeCell ref="K14:L14"/>
    <mergeCell ref="M14:N14"/>
    <mergeCell ref="A15:B15"/>
    <mergeCell ref="C15:H15"/>
    <mergeCell ref="I15:J15"/>
    <mergeCell ref="K15:L15"/>
    <mergeCell ref="M15:N15"/>
    <mergeCell ref="D11:H11"/>
    <mergeCell ref="I11:K11"/>
    <mergeCell ref="L11:N11"/>
    <mergeCell ref="A12:C12"/>
    <mergeCell ref="D12:N12"/>
    <mergeCell ref="A13:N13"/>
    <mergeCell ref="A9:C9"/>
    <mergeCell ref="D9:H9"/>
    <mergeCell ref="I9:K9"/>
    <mergeCell ref="L9:N9"/>
    <mergeCell ref="A10:C10"/>
    <mergeCell ref="D10:H10"/>
    <mergeCell ref="I10:K10"/>
    <mergeCell ref="L10:N10"/>
    <mergeCell ref="A7:C7"/>
    <mergeCell ref="D7:H7"/>
    <mergeCell ref="I7:K7"/>
    <mergeCell ref="L7:N7"/>
    <mergeCell ref="A8:C8"/>
    <mergeCell ref="D8:H8"/>
    <mergeCell ref="I8:K8"/>
    <mergeCell ref="L8:N8"/>
    <mergeCell ref="A5:C5"/>
    <mergeCell ref="D5:H5"/>
    <mergeCell ref="I5:K5"/>
    <mergeCell ref="L5:N5"/>
    <mergeCell ref="A6:C6"/>
    <mergeCell ref="D6:H6"/>
    <mergeCell ref="I6:K6"/>
    <mergeCell ref="L6:N6"/>
    <mergeCell ref="A1:B3"/>
    <mergeCell ref="C2:N2"/>
    <mergeCell ref="C3:N3"/>
    <mergeCell ref="A4:C4"/>
    <mergeCell ref="D4:H4"/>
    <mergeCell ref="I4:K4"/>
    <mergeCell ref="L4:N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CETPRO</dc:creator>
  <cp:lastModifiedBy>CETPRO</cp:lastModifiedBy>
  <dcterms:created xsi:type="dcterms:W3CDTF">2025-08-20T19:20:52Z</dcterms:created>
  <dcterms:modified xsi:type="dcterms:W3CDTF">2025-08-20T19:21:40Z</dcterms:modified>
</cp:coreProperties>
</file>